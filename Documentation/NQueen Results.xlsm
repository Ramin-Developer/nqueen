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45878DBC-F9FC-433C-93EF-D6E015D9B7FF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Data" sheetId="1" r:id="rId1"/>
    <sheet name="Figures" sheetId="2" r:id="rId2"/>
  </sheets>
  <definedNames>
    <definedName name="_xlnm.Print_Area" localSheetId="1">Figures!$A$1:$I$39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1" l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<sst xmlns="http://schemas.openxmlformats.org/spreadsheetml/2006/main" count="13" uniqueCount="11">
  <si>
    <t>Factor</t>
  </si>
  <si>
    <t>No. of Unique Solutions</t>
  </si>
  <si>
    <t>No. of All Solutions</t>
  </si>
  <si>
    <t>Max Memory Usage, MB</t>
  </si>
  <si>
    <t>Single</t>
  </si>
  <si>
    <t>Unique</t>
  </si>
  <si>
    <t>All</t>
  </si>
  <si>
    <t>Elapsed Time, sec</t>
  </si>
  <si>
    <t>Solution Growth Analysis</t>
  </si>
  <si>
    <t>Board Size</t>
  </si>
  <si>
    <t>Factor progression and solution counts by board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</si>
</sst>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0.00000"/>
    <numFmt numFmtId="166" formatCode="0.0000000000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1F2937"/>
      <name val="Aptos"/>
      <family val="2"/>
    </font>
    <font>
      <b/>
      <sz val="10"/>
      <color rgb="FFFFFFFF"/>
      <name val="Aptos"/>
      <family val="2"/>
    </font>
    <font>
      <b/>
      <sz val="11"/>
      <color rgb="FFFFFFFF"/>
      <name val="Aptos"/>
      <family val="2"/>
    </font>
    <font>
      <b/>
      <sz val="18"/>
      <color rgb="FFFFFFFF"/>
      <name val="Aptos Display"/>
      <family val="2"/>
    </font>
    <font>
      <i/>
      <sz val="10"/>
      <color rgb="FF44546A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D9EAF7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rgb="FF9FBAD0"/>
      </left>
      <right style="medium">
        <color rgb="FF9FBAD0"/>
      </right>
      <top style="thin">
        <color rgb="FFD9E2F3"/>
      </top>
      <bottom style="medium">
        <color rgb="FF1F4E78"/>
      </bottom>
      <diagonal/>
    </border>
    <border>
      <left/>
      <right style="medium">
        <color rgb="FF9FBAD0"/>
      </right>
      <top style="thin">
        <color rgb="FFD9E2F3"/>
      </top>
      <bottom style="medium">
        <color rgb="FF1F4E78"/>
      </bottom>
      <diagonal/>
    </border>
    <border>
      <left style="thin">
        <color rgb="FF7F9DB9"/>
      </left>
      <right style="thin">
        <color rgb="FF7F9DB9"/>
      </right>
      <top style="medium">
        <color rgb="FF1F4E78"/>
      </top>
      <bottom style="thin">
        <color rgb="FF7F9DB9"/>
      </bottom>
      <diagonal/>
    </border>
    <border>
      <left style="thin">
        <color rgb="FF7F9DB9"/>
      </left>
      <right style="thin">
        <color rgb="FF7F9DB9"/>
      </right>
      <top style="thin">
        <color rgb="FF7F9DB9"/>
      </top>
      <bottom style="thin">
        <color rgb="FF7F9DB9"/>
      </bottom>
      <diagonal/>
    </border>
    <border>
      <left/>
      <right style="thin">
        <color rgb="FF7F9DB9"/>
      </right>
      <top style="medium">
        <color rgb="FF1F4E78"/>
      </top>
      <bottom style="thin">
        <color rgb="FF7F9DB9"/>
      </bottom>
      <diagonal/>
    </border>
    <border>
      <left/>
      <right style="thin">
        <color rgb="FF7F9DB9"/>
      </right>
      <top style="thin">
        <color rgb="FF7F9DB9"/>
      </top>
      <bottom style="thin">
        <color rgb="FF7F9DB9"/>
      </bottom>
      <diagonal/>
    </border>
    <border>
      <left style="thick">
        <color theme="8"/>
      </left>
      <right style="medium">
        <color rgb="FF9FBAD0"/>
      </right>
      <top style="thin">
        <color rgb="FFD9E2F3"/>
      </top>
      <bottom style="medium">
        <color rgb="FF1F4E78"/>
      </bottom>
      <diagonal/>
    </border>
    <border>
      <left style="medium">
        <color rgb="FF9FBAD0"/>
      </left>
      <right style="thick">
        <color theme="8"/>
      </right>
      <top style="thin">
        <color rgb="FFD9E2F3"/>
      </top>
      <bottom style="medium">
        <color rgb="FF1F4E78"/>
      </bottom>
      <diagonal/>
    </border>
    <border>
      <left style="thick">
        <color theme="8"/>
      </left>
      <right style="thin">
        <color rgb="FF7F9DB9"/>
      </right>
      <top style="medium">
        <color rgb="FF1F4E78"/>
      </top>
      <bottom style="thin">
        <color rgb="FF7F9DB9"/>
      </bottom>
      <diagonal/>
    </border>
    <border>
      <left style="thin">
        <color rgb="FF7F9DB9"/>
      </left>
      <right style="thick">
        <color theme="8"/>
      </right>
      <top style="medium">
        <color rgb="FF1F4E78"/>
      </top>
      <bottom style="thin">
        <color rgb="FF7F9DB9"/>
      </bottom>
      <diagonal/>
    </border>
    <border>
      <left style="thick">
        <color theme="8"/>
      </left>
      <right style="thin">
        <color rgb="FF7F9DB9"/>
      </right>
      <top style="thin">
        <color rgb="FF7F9DB9"/>
      </top>
      <bottom style="thin">
        <color rgb="FF7F9DB9"/>
      </bottom>
      <diagonal/>
    </border>
    <border>
      <left style="thin">
        <color rgb="FF7F9DB9"/>
      </left>
      <right style="thick">
        <color theme="8"/>
      </right>
      <top style="thin">
        <color rgb="FF7F9DB9"/>
      </top>
      <bottom style="thin">
        <color rgb="FF7F9DB9"/>
      </bottom>
      <diagonal/>
    </border>
    <border>
      <left style="thick">
        <color theme="8"/>
      </left>
      <right style="medium">
        <color rgb="FF9FBAD0"/>
      </right>
      <top/>
      <bottom style="medium">
        <color rgb="FF1F4E78"/>
      </bottom>
      <diagonal/>
    </border>
    <border>
      <left style="medium">
        <color rgb="FF9FBAD0"/>
      </left>
      <right style="medium">
        <color rgb="FF9FBAD0"/>
      </right>
      <top/>
      <bottom style="medium">
        <color rgb="FF1F4E78"/>
      </bottom>
      <diagonal/>
    </border>
    <border>
      <left style="medium">
        <color rgb="FF9FBAD0"/>
      </left>
      <right style="thick">
        <color theme="8"/>
      </right>
      <top/>
      <bottom style="medium">
        <color rgb="FF1F4E78"/>
      </bottom>
      <diagonal/>
    </border>
    <border>
      <left style="thick">
        <color theme="8"/>
      </left>
      <right style="medium">
        <color rgb="FF9FBAD0"/>
      </right>
      <top style="thick">
        <color theme="8"/>
      </top>
      <bottom style="thick">
        <color theme="8"/>
      </bottom>
      <diagonal/>
    </border>
    <border>
      <left style="medium">
        <color rgb="FF9FBAD0"/>
      </left>
      <right style="medium">
        <color rgb="FF9FBAD0"/>
      </right>
      <top style="thick">
        <color theme="8"/>
      </top>
      <bottom style="thick">
        <color theme="8"/>
      </bottom>
      <diagonal/>
    </border>
    <border>
      <left style="medium">
        <color rgb="FF9FBAD0"/>
      </left>
      <right style="thick">
        <color theme="8"/>
      </right>
      <top style="thick">
        <color theme="8"/>
      </top>
      <bottom style="thick">
        <color theme="8"/>
      </bottom>
      <diagonal/>
    </border>
    <border>
      <left style="thick">
        <color theme="8"/>
      </left>
      <right style="medium">
        <color rgb="FF9FBAD0"/>
      </right>
      <top style="thick">
        <color theme="8"/>
      </top>
      <bottom/>
      <diagonal/>
    </border>
    <border>
      <left style="medium">
        <color rgb="FF9FBAD0"/>
      </left>
      <right style="thick">
        <color theme="8"/>
      </right>
      <top style="thick">
        <color theme="8"/>
      </top>
      <bottom/>
      <diagonal/>
    </border>
    <border>
      <left style="thick">
        <color theme="8"/>
      </left>
      <right style="thin">
        <color rgb="FF7F9DB9"/>
      </right>
      <top style="thin">
        <color rgb="FF7F9DB9"/>
      </top>
      <bottom style="thick">
        <color theme="8"/>
      </bottom>
      <diagonal/>
    </border>
    <border>
      <left style="thin">
        <color rgb="FF7F9DB9"/>
      </left>
      <right style="thick">
        <color theme="8"/>
      </right>
      <top style="thin">
        <color rgb="FF7F9DB9"/>
      </top>
      <bottom style="thick">
        <color theme="8"/>
      </bottom>
      <diagonal/>
    </border>
    <border>
      <left style="thin">
        <color rgb="FF7F9DB9"/>
      </left>
      <right style="thin">
        <color rgb="FF7F9DB9"/>
      </right>
      <top style="thin">
        <color rgb="FF7F9DB9"/>
      </top>
      <bottom style="thick">
        <color theme="8"/>
      </bottom>
      <diagonal/>
    </border>
    <border>
      <left/>
      <right style="medium">
        <color rgb="FF9FBAD0"/>
      </right>
      <top style="thick">
        <color theme="8"/>
      </top>
      <bottom/>
      <diagonal/>
    </border>
    <border>
      <left/>
      <right style="thin">
        <color rgb="FF7F9DB9"/>
      </right>
      <top style="thin">
        <color rgb="FF7F9DB9"/>
      </top>
      <bottom style="thick">
        <color theme="8"/>
      </bottom>
      <diagonal/>
    </border>
    <border>
      <left style="thick">
        <color theme="8"/>
      </left>
      <right style="thick">
        <color theme="8"/>
      </right>
      <top style="thick">
        <color theme="8"/>
      </top>
      <bottom/>
      <diagonal/>
    </border>
    <border>
      <left style="thick">
        <color theme="8"/>
      </left>
      <right style="thick">
        <color theme="8"/>
      </right>
      <top style="thin">
        <color rgb="FFD9E2F3"/>
      </top>
      <bottom style="medium">
        <color rgb="FF1F4E78"/>
      </bottom>
      <diagonal/>
    </border>
    <border>
      <left style="thick">
        <color theme="8"/>
      </left>
      <right style="thick">
        <color theme="8"/>
      </right>
      <top style="medium">
        <color rgb="FF1F4E78"/>
      </top>
      <bottom style="thin">
        <color rgb="FF7F9DB9"/>
      </bottom>
      <diagonal/>
    </border>
    <border>
      <left style="thick">
        <color theme="8"/>
      </left>
      <right style="thick">
        <color theme="8"/>
      </right>
      <top style="thin">
        <color rgb="FF7F9DB9"/>
      </top>
      <bottom style="thin">
        <color rgb="FF7F9DB9"/>
      </bottom>
      <diagonal/>
    </border>
    <border>
      <left style="thick">
        <color theme="8"/>
      </left>
      <right style="thick">
        <color theme="8"/>
      </right>
      <top style="thin">
        <color rgb="FF7F9DB9"/>
      </top>
      <bottom style="thick">
        <color theme="8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64" fontId="1" fillId="0" borderId="0" xfId="0" applyNumberFormat="1" applyFont="1"/>
    <xf numFmtId="3" fontId="1" fillId="0" borderId="0" xfId="0" applyNumberFormat="1" applyFont="1"/>
    <xf numFmtId="3" fontId="2" fillId="0" borderId="0" xfId="0" applyNumberFormat="1" applyFont="1"/>
    <xf numFmtId="165" fontId="1" fillId="0" borderId="0" xfId="0" applyNumberFormat="1" applyFont="1"/>
    <xf numFmtId="3" fontId="3" fillId="0" borderId="0" xfId="0" applyNumberFormat="1" applyFont="1"/>
    <xf numFmtId="0" fontId="3" fillId="0" borderId="0" xfId="0" applyFont="1"/>
    <xf numFmtId="164" fontId="4" fillId="0" borderId="1" xfId="0" applyNumberFormat="1" applyFont="1" applyBorder="1"/>
    <xf numFmtId="0" fontId="4" fillId="0" borderId="1" xfId="0" applyFont="1" applyBorder="1"/>
    <xf numFmtId="164" fontId="6" fillId="4" borderId="2" xfId="0" applyNumberFormat="1" applyFont="1" applyFill="1" applyBorder="1" applyAlignment="1">
      <alignment horizontal="center" vertical="center" wrapText="1"/>
    </xf>
    <xf numFmtId="3" fontId="5" fillId="2" borderId="4" xfId="0" applyNumberFormat="1" applyFont="1" applyFill="1" applyBorder="1" applyAlignment="1">
      <alignment horizontal="right" vertical="center"/>
    </xf>
    <xf numFmtId="164" fontId="5" fillId="2" borderId="4" xfId="0" applyNumberFormat="1" applyFont="1" applyFill="1" applyBorder="1" applyAlignment="1">
      <alignment horizontal="right" vertical="center"/>
    </xf>
    <xf numFmtId="3" fontId="5" fillId="5" borderId="5" xfId="0" applyNumberFormat="1" applyFont="1" applyFill="1" applyBorder="1" applyAlignment="1">
      <alignment horizontal="right" vertical="center"/>
    </xf>
    <xf numFmtId="164" fontId="5" fillId="5" borderId="5" xfId="0" applyNumberFormat="1" applyFont="1" applyFill="1" applyBorder="1" applyAlignment="1">
      <alignment horizontal="right" vertical="center"/>
    </xf>
    <xf numFmtId="3" fontId="5" fillId="2" borderId="5" xfId="0" applyNumberFormat="1" applyFont="1" applyFill="1" applyBorder="1" applyAlignment="1">
      <alignment horizontal="right" vertical="center"/>
    </xf>
    <xf numFmtId="164" fontId="5" fillId="2" borderId="5" xfId="0" applyNumberFormat="1" applyFont="1" applyFill="1" applyBorder="1" applyAlignment="1">
      <alignment horizontal="right" vertical="center"/>
    </xf>
    <xf numFmtId="164" fontId="6" fillId="4" borderId="3" xfId="0" applyNumberFormat="1" applyFont="1" applyFill="1" applyBorder="1" applyAlignment="1">
      <alignment horizontal="center" vertical="center" wrapText="1"/>
    </xf>
    <xf numFmtId="164" fontId="6" fillId="4" borderId="8" xfId="0" applyNumberFormat="1" applyFont="1" applyFill="1" applyBorder="1" applyAlignment="1">
      <alignment horizontal="center" vertical="center" wrapText="1"/>
    </xf>
    <xf numFmtId="164" fontId="6" fillId="4" borderId="9" xfId="0" applyNumberFormat="1" applyFont="1" applyFill="1" applyBorder="1" applyAlignment="1">
      <alignment horizontal="center" vertical="center" wrapText="1"/>
    </xf>
    <xf numFmtId="164" fontId="5" fillId="2" borderId="10" xfId="0" applyNumberFormat="1" applyFont="1" applyFill="1" applyBorder="1" applyAlignment="1">
      <alignment horizontal="right" vertical="center"/>
    </xf>
    <xf numFmtId="164" fontId="5" fillId="2" borderId="11" xfId="0" applyNumberFormat="1" applyFont="1" applyFill="1" applyBorder="1" applyAlignment="1">
      <alignment horizontal="right" vertical="center"/>
    </xf>
    <xf numFmtId="164" fontId="5" fillId="5" borderId="12" xfId="0" applyNumberFormat="1" applyFont="1" applyFill="1" applyBorder="1" applyAlignment="1">
      <alignment horizontal="right" vertical="center"/>
    </xf>
    <xf numFmtId="164" fontId="5" fillId="5" borderId="13" xfId="0" applyNumberFormat="1" applyFont="1" applyFill="1" applyBorder="1" applyAlignment="1">
      <alignment horizontal="right" vertical="center"/>
    </xf>
    <xf numFmtId="164" fontId="5" fillId="2" borderId="12" xfId="0" applyNumberFormat="1" applyFont="1" applyFill="1" applyBorder="1" applyAlignment="1">
      <alignment horizontal="right" vertical="center"/>
    </xf>
    <xf numFmtId="164" fontId="5" fillId="2" borderId="13" xfId="0" applyNumberFormat="1" applyFont="1" applyFill="1" applyBorder="1" applyAlignment="1">
      <alignment horizontal="right" vertical="center"/>
    </xf>
    <xf numFmtId="164" fontId="6" fillId="4" borderId="14" xfId="0" applyNumberFormat="1" applyFont="1" applyFill="1" applyBorder="1" applyAlignment="1">
      <alignment horizontal="center" vertical="center" wrapText="1"/>
    </xf>
    <xf numFmtId="164" fontId="6" fillId="4" borderId="15" xfId="0" applyNumberFormat="1" applyFont="1" applyFill="1" applyBorder="1" applyAlignment="1">
      <alignment horizontal="center" vertical="center" wrapText="1"/>
    </xf>
    <xf numFmtId="164" fontId="6" fillId="4" borderId="16" xfId="0" applyNumberFormat="1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3" fontId="7" fillId="3" borderId="25" xfId="0" applyNumberFormat="1" applyFont="1" applyFill="1" applyBorder="1" applyAlignment="1">
      <alignment horizontal="center" vertical="center" wrapText="1"/>
    </xf>
    <xf numFmtId="3" fontId="5" fillId="2" borderId="6" xfId="0" applyNumberFormat="1" applyFont="1" applyFill="1" applyBorder="1" applyAlignment="1">
      <alignment horizontal="right" vertical="center"/>
    </xf>
    <xf numFmtId="3" fontId="5" fillId="5" borderId="7" xfId="0" applyNumberFormat="1" applyFont="1" applyFill="1" applyBorder="1" applyAlignment="1">
      <alignment horizontal="right" vertical="center"/>
    </xf>
    <xf numFmtId="3" fontId="5" fillId="2" borderId="7" xfId="0" applyNumberFormat="1" applyFont="1" applyFill="1" applyBorder="1" applyAlignment="1">
      <alignment horizontal="right" vertical="center"/>
    </xf>
    <xf numFmtId="0" fontId="7" fillId="3" borderId="27" xfId="0" applyFont="1" applyFill="1" applyBorder="1" applyAlignment="1">
      <alignment horizontal="center" vertical="center" wrapText="1"/>
    </xf>
    <xf numFmtId="164" fontId="6" fillId="4" borderId="28" xfId="0" applyNumberFormat="1" applyFont="1" applyFill="1" applyBorder="1" applyAlignment="1">
      <alignment horizontal="center" vertical="center" wrapText="1"/>
    </xf>
    <xf numFmtId="3" fontId="5" fillId="2" borderId="29" xfId="0" applyNumberFormat="1" applyFont="1" applyFill="1" applyBorder="1" applyAlignment="1">
      <alignment horizontal="center" vertical="center"/>
    </xf>
    <xf numFmtId="3" fontId="5" fillId="5" borderId="30" xfId="0" applyNumberFormat="1" applyFont="1" applyFill="1" applyBorder="1" applyAlignment="1">
      <alignment horizontal="center" vertical="center"/>
    </xf>
    <xf numFmtId="3" fontId="5" fillId="2" borderId="30" xfId="0" applyNumberFormat="1" applyFont="1" applyFill="1" applyBorder="1" applyAlignment="1">
      <alignment horizontal="center" vertical="center"/>
    </xf>
    <xf numFmtId="3" fontId="5" fillId="2" borderId="31" xfId="0" applyNumberFormat="1" applyFont="1" applyFill="1" applyBorder="1" applyAlignment="1">
      <alignment horizontal="center" vertical="center"/>
    </xf>
    <xf numFmtId="166" fontId="7" fillId="3" borderId="21" xfId="0" applyNumberFormat="1" applyFont="1" applyFill="1" applyBorder="1" applyAlignment="1">
      <alignment horizontal="center" vertical="center" wrapText="1"/>
    </xf>
    <xf numFmtId="166" fontId="6" fillId="4" borderId="9" xfId="0" applyNumberFormat="1" applyFont="1" applyFill="1" applyBorder="1" applyAlignment="1">
      <alignment horizontal="center" vertical="center" wrapText="1"/>
    </xf>
    <xf numFmtId="166" fontId="5" fillId="2" borderId="11" xfId="0" applyNumberFormat="1" applyFont="1" applyFill="1" applyBorder="1" applyAlignment="1">
      <alignment horizontal="right" vertical="center"/>
    </xf>
    <xf numFmtId="166" fontId="5" fillId="5" borderId="13" xfId="0" applyNumberFormat="1" applyFont="1" applyFill="1" applyBorder="1" applyAlignment="1">
      <alignment horizontal="right" vertical="center"/>
    </xf>
    <xf numFmtId="166" fontId="5" fillId="2" borderId="13" xfId="0" applyNumberFormat="1" applyFont="1" applyFill="1" applyBorder="1" applyAlignment="1">
      <alignment horizontal="right" vertical="center"/>
    </xf>
    <xf numFmtId="166" fontId="5" fillId="5" borderId="23" xfId="0" applyNumberFormat="1" applyFont="1" applyFill="1" applyBorder="1" applyAlignment="1">
      <alignment horizontal="right" vertical="center"/>
    </xf>
    <xf numFmtId="166" fontId="1" fillId="0" borderId="0" xfId="0" applyNumberFormat="1" applyFont="1"/>
    <xf numFmtId="3" fontId="5" fillId="2" borderId="26" xfId="0" applyNumberFormat="1" applyFont="1" applyFill="1" applyBorder="1" applyAlignment="1">
      <alignment horizontal="right" vertical="center"/>
    </xf>
    <xf numFmtId="3" fontId="5" fillId="2" borderId="24" xfId="0" applyNumberFormat="1" applyFont="1" applyFill="1" applyBorder="1" applyAlignment="1">
      <alignment horizontal="right" vertical="center"/>
    </xf>
    <xf numFmtId="164" fontId="5" fillId="2" borderId="22" xfId="0" applyNumberFormat="1" applyFont="1" applyFill="1" applyBorder="1" applyAlignment="1">
      <alignment horizontal="right" vertical="center"/>
    </xf>
    <xf numFmtId="164" fontId="5" fillId="2" borderId="24" xfId="0" applyNumberFormat="1" applyFont="1" applyFill="1" applyBorder="1" applyAlignment="1">
      <alignment horizontal="right" vertical="center"/>
    </xf>
    <xf numFmtId="164" fontId="5" fillId="2" borderId="23" xfId="0" applyNumberFormat="1" applyFont="1" applyFill="1" applyBorder="1" applyAlignment="1">
      <alignment horizontal="right" vertical="center"/>
    </xf>
    <xf numFmtId="164" fontId="7" fillId="3" borderId="17" xfId="0" applyNumberFormat="1" applyFont="1" applyFill="1" applyBorder="1" applyAlignment="1">
      <alignment horizontal="center" vertical="center" wrapText="1"/>
    </xf>
    <xf numFmtId="164" fontId="7" fillId="3" borderId="18" xfId="0" applyNumberFormat="1" applyFont="1" applyFill="1" applyBorder="1" applyAlignment="1">
      <alignment horizontal="center" vertical="center" wrapText="1"/>
    </xf>
    <xf numFmtId="164" fontId="7" fillId="3" borderId="19" xfId="0" applyNumberFormat="1" applyFont="1" applyFill="1" applyBorder="1" applyAlignment="1">
      <alignment horizontal="center" vertical="center" wrapText="1"/>
    </xf>
    <xf numFmtId="164" fontId="7" fillId="3" borderId="20" xfId="0" applyNumberFormat="1" applyFont="1" applyFill="1" applyBorder="1" applyAlignment="1">
      <alignment horizontal="center" vertical="center" wrapText="1"/>
    </xf>
    <xf numFmtId="164" fontId="7" fillId="3" borderId="21" xfId="0" applyNumberFormat="1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left" vertical="center"/>
    </xf>
    <xf numFmtId="0" fontId="9" fillId="7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Display"/>
                <a:ea typeface="Aptos Display"/>
                <a:cs typeface="Aptos Display"/>
              </a:defRPr>
            </a:pPr>
            <a:r>
              <a:rPr lang="en-US"/>
              <a:t>Factor Convergence by Board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Display"/>
              <a:ea typeface="Aptos Display"/>
              <a:cs typeface="Aptos Display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Factor</c:v>
          </c:tx>
          <c:spPr>
            <a:ln w="28575" cap="rnd">
              <a:solidFill>
                <a:srgbClr val="2F75B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Data!$A$6:$A$29</c:f>
              <c:numCache>
                <c:formatCode>#,##0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</c:numCache>
            </c:numRef>
          </c:xVal>
          <c:yVal>
            <c:numRef>
              <c:f>Data!$D$6:$D$29</c:f>
              <c:numCache>
                <c:formatCode>0.000000000000000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7.999970159880613</c:v>
                </c:pt>
                <c:pt idx="17">
                  <c:v>7.999990413421691</c:v>
                </c:pt>
                <c:pt idx="18">
                  <c:v>7.999996281865851</c:v>
                </c:pt>
                <c:pt idx="19">
                  <c:v>7.9999988177771133</c:v>
                </c:pt>
                <c:pt idx="20">
                  <c:v>7.9999995892392883</c:v>
                </c:pt>
                <c:pt idx="21">
                  <c:v>7.9999998763015681</c:v>
                </c:pt>
                <c:pt idx="22">
                  <c:v>7.9999999585196431</c:v>
                </c:pt>
                <c:pt idx="23">
                  <c:v>7.9999999890883888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9-4CBD-A207-7C192389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025552"/>
        <c:axId val="442794831"/>
      </c:scatterChart>
      <c:valAx>
        <c:axId val="69202555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rgbClr val="C8D6E5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E3EAF2"/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Board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2794831"/>
        <c:crosses val="autoZero"/>
        <c:crossBetween val="midCat"/>
        <c:majorUnit val="2"/>
        <c:minorUnit val="1"/>
      </c:valAx>
      <c:valAx>
        <c:axId val="44279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8EEF5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92025552"/>
        <c:crosses val="autoZero"/>
        <c:crossBetween val="midCat"/>
      </c:valAx>
      <c:spPr>
        <a:solidFill>
          <a:srgbClr val="F8FBFD"/>
        </a:solidFill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AF2F8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Display"/>
                <a:ea typeface="Aptos Display"/>
                <a:cs typeface="Aptos Display"/>
              </a:defRPr>
            </a:pPr>
            <a:r>
              <a:rPr lang="en-US"/>
              <a:t>Solution Counts by Board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Display"/>
              <a:ea typeface="Aptos Display"/>
              <a:cs typeface="Aptos Display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Unique Solutions</c:v>
          </c:tx>
          <c:spPr>
            <a:ln w="28575" cap="rnd">
              <a:solidFill>
                <a:srgbClr val="2F75B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Data!$A$6:$A$29</c:f>
              <c:numCache>
                <c:formatCode>#,##0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</c:numCache>
            </c:numRef>
          </c:xVal>
          <c:yVal>
            <c:numRef>
              <c:f>Data!$B$6:$B$29</c:f>
              <c:numCache>
                <c:formatCode>#,##0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>
                  <c:v>1787</c:v>
                </c:pt>
                <c:pt idx="9">
                  <c:v>9233</c:v>
                </c:pt>
                <c:pt idx="10">
                  <c:v>45752</c:v>
                </c:pt>
                <c:pt idx="11">
                  <c:v>285053</c:v>
                </c:pt>
                <c:pt idx="12">
                  <c:v>1846955</c:v>
                </c:pt>
                <c:pt idx="13">
                  <c:v>11977939</c:v>
                </c:pt>
                <c:pt idx="14">
                  <c:v>83263591</c:v>
                </c:pt>
                <c:pt idx="15">
                  <c:v>621012754</c:v>
                </c:pt>
                <c:pt idx="16">
                  <c:v>4878666808</c:v>
                </c:pt>
                <c:pt idx="17">
                  <c:v>39333324973</c:v>
                </c:pt>
                <c:pt idx="18">
                  <c:v>336376244042</c:v>
                </c:pt>
                <c:pt idx="19">
                  <c:v>3029242658210</c:v>
                </c:pt>
                <c:pt idx="20">
                  <c:v>28439272956934</c:v>
                </c:pt>
                <c:pt idx="21">
                  <c:v>275986683743434</c:v>
                </c:pt>
                <c:pt idx="22">
                  <c:v>2789712466510289</c:v>
                </c:pt>
                <c:pt idx="23">
                  <c:v>2.9363495934315696E+16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5E-4472-805E-D2712F2A564A}"/>
            </c:ext>
          </c:extLst>
        </c:ser>
        <c:ser>
          <c:idx val="1"/>
          <c:order val="1"/>
          <c:tx>
            <c:v>All Solutions</c:v>
          </c:tx>
          <c:spPr>
            <a:ln w="28575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Data!$A$6:$A$29</c:f>
              <c:numCache>
                <c:formatCode>#,##0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</c:numCache>
            </c:numRef>
          </c:xVal>
          <c:yVal>
            <c:numRef>
              <c:f>Data!$C$6:$C$29</c:f>
              <c:numCache>
                <c:formatCode>#,##0</c:formatCode>
                <c:ptCount val="24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>
                  <c:v>73712</c:v>
                </c:pt>
                <c:pt idx="10">
                  <c:v>365596</c:v>
                </c:pt>
                <c:pt idx="11">
                  <c:v>2279184</c:v>
                </c:pt>
                <c:pt idx="12">
                  <c:v>14772512</c:v>
                </c:pt>
                <c:pt idx="13">
                  <c:v>95815104</c:v>
                </c:pt>
                <c:pt idx="14">
                  <c:v>666090624</c:v>
                </c:pt>
                <c:pt idx="15">
                  <c:v>4968057848</c:v>
                </c:pt>
                <c:pt idx="16">
                  <c:v>39029188884</c:v>
                </c:pt>
                <c:pt idx="17">
                  <c:v>314666222712</c:v>
                </c:pt>
                <c:pt idx="18">
                  <c:v>2691008701644</c:v>
                </c:pt>
                <c:pt idx="19">
                  <c:v>24233937684440</c:v>
                </c:pt>
                <c:pt idx="20">
                  <c:v>227514171973736</c:v>
                </c:pt>
                <c:pt idx="21">
                  <c:v>2207893435808352</c:v>
                </c:pt>
                <c:pt idx="22">
                  <c:v>2.2317699616364044E+16</c:v>
                </c:pt>
                <c:pt idx="23">
                  <c:v>2.3490796715412253E+17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5E-4472-805E-D2712F2A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248223"/>
        <c:axId val="442783791"/>
      </c:scatterChart>
      <c:valAx>
        <c:axId val="444248223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rgbClr val="C8D6E5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E3EAF2"/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Board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2783791"/>
        <c:crosses val="autoZero"/>
        <c:crossBetween val="midCat"/>
        <c:majorUnit val="2"/>
        <c:minorUnit val="1"/>
      </c:valAx>
      <c:valAx>
        <c:axId val="442783791"/>
        <c:scaling>
          <c:logBase val="100"/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8EEF5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No. of Solutions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4248223"/>
        <c:crosses val="autoZero"/>
        <c:crossBetween val="midCat"/>
      </c:valAx>
      <c:spPr>
        <a:solidFill>
          <a:srgbClr val="F8FBFD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nb-N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AF2F8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152400</xdr:rowOff>
    </xdr:from>
    <xdr:to>
      <xdr:col>9</xdr:col>
      <xdr:colOff>0</xdr:colOff>
      <xdr:row>39</xdr:row>
      <xdr:rowOff>38100</xdr:rowOff>
    </xdr:to>
    <xdr:sp macro="" textlink="">
      <xdr:nvSpPr>
        <xdr:cNvPr id="8" name="Solutions Chart Boundary">
          <a:extLst>
            <a:ext uri="{FF2B5EF4-FFF2-40B4-BE49-F238E27FC236}">
              <a16:creationId xmlns:a16="http://schemas.microsoft.com/office/drawing/2014/main" id="{0F52E517-CB54-4D03-85BE-DDAC14A08C39}"/>
            </a:ext>
          </a:extLst>
        </xdr:cNvPr>
        <xdr:cNvSpPr/>
      </xdr:nvSpPr>
      <xdr:spPr>
        <a:xfrm>
          <a:off x="0" y="3686175"/>
          <a:ext cx="8229600" cy="4076700"/>
        </a:xfrm>
        <a:prstGeom prst="rect">
          <a:avLst/>
        </a:prstGeom>
        <a:noFill/>
        <a:ln w="12700" cap="flat" cmpd="sng" algn="ctr">
          <a:solidFill>
            <a:srgbClr val="7F8FA6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/>
        </a:p>
      </xdr:txBody>
    </xdr:sp>
    <xdr:clientData/>
  </xdr:twoCellAnchor>
  <xdr:twoCellAnchor>
    <xdr:from>
      <xdr:col>0</xdr:col>
      <xdr:colOff>0</xdr:colOff>
      <xdr:row>2</xdr:row>
      <xdr:rowOff>152400</xdr:rowOff>
    </xdr:from>
    <xdr:to>
      <xdr:col>9</xdr:col>
      <xdr:colOff>0</xdr:colOff>
      <xdr:row>17</xdr:row>
      <xdr:rowOff>38100</xdr:rowOff>
    </xdr:to>
    <xdr:sp macro="" textlink="">
      <xdr:nvSpPr>
        <xdr:cNvPr id="7" name="Factor Chart Boundary">
          <a:extLst>
            <a:ext uri="{FF2B5EF4-FFF2-40B4-BE49-F238E27FC236}">
              <a16:creationId xmlns:a16="http://schemas.microsoft.com/office/drawing/2014/main" id="{78CE3D11-D557-452B-A2E4-D3514999EC24}"/>
            </a:ext>
          </a:extLst>
        </xdr:cNvPr>
        <xdr:cNvSpPr/>
      </xdr:nvSpPr>
      <xdr:spPr>
        <a:xfrm>
          <a:off x="0" y="828675"/>
          <a:ext cx="8229600" cy="2743200"/>
        </a:xfrm>
        <a:prstGeom prst="rect">
          <a:avLst/>
        </a:prstGeom>
        <a:noFill/>
        <a:ln w="12700" cap="flat" cmpd="sng" algn="ctr">
          <a:solidFill>
            <a:srgbClr val="7F8FA6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/>
        </a:p>
      </xdr:txBody>
    </xdr:sp>
    <xdr:clientData/>
  </xdr:twoCellAnchor>
  <xdr:twoCellAnchor>
    <xdr:from>
      <xdr:col>0</xdr:col>
      <xdr:colOff>38100</xdr:colOff>
      <xdr:row>3</xdr:row>
      <xdr:rowOff>0</xdr:rowOff>
    </xdr:from>
    <xdr:to>
      <xdr:col>8</xdr:col>
      <xdr:colOff>876300</xdr:colOff>
      <xdr:row>17</xdr:row>
      <xdr:rowOff>0</xdr:rowOff>
    </xdr:to>
    <xdr:graphicFrame macro="">
      <xdr:nvGraphicFramePr>
        <xdr:cNvPr id="2" name="Factor by Size Chart">
          <a:extLst>
            <a:ext uri="{FF2B5EF4-FFF2-40B4-BE49-F238E27FC236}">
              <a16:creationId xmlns:a16="http://schemas.microsoft.com/office/drawing/2014/main" id="{12DB03C0-ED43-24B4-615C-294BD74ED5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18</xdr:row>
      <xdr:rowOff>0</xdr:rowOff>
    </xdr:from>
    <xdr:to>
      <xdr:col>8</xdr:col>
      <xdr:colOff>876300</xdr:colOff>
      <xdr:row>39</xdr:row>
      <xdr:rowOff>0</xdr:rowOff>
    </xdr:to>
    <xdr:graphicFrame macro="">
      <xdr:nvGraphicFramePr>
        <xdr:cNvPr id="3" name="Solution Counts Chart">
          <a:extLst>
            <a:ext uri="{FF2B5EF4-FFF2-40B4-BE49-F238E27FC236}">
              <a16:creationId xmlns:a16="http://schemas.microsoft.com/office/drawing/2014/main" id="{58A1287B-1A93-4797-BE75-2CADCDFC2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44"/>
  <sheetViews>
    <sheetView tabSelected="1" zoomScale="130" zoomScaleNormal="130" workbookViewId="0">
      <pane ySplit="1" topLeftCell="A2" activePane="bottomLeft" state="frozen"/>
      <selection pane="bottomLeft" activeCell="K16" sqref="K16"/>
    </sheetView>
  </sheetViews>
  <sheetFormatPr defaultColWidth="23.7109375" defaultRowHeight="15.75" x14ac:dyDescent="0.25"/>
  <cols>
    <col min="1" max="1" width="10.42578125" style="1" customWidth="1"/>
    <col min="2" max="2" width="29" style="4" bestFit="1" customWidth="1"/>
    <col min="3" max="3" width="27" style="1" bestFit="1" customWidth="1"/>
    <col min="4" max="4" width="19.5703125" style="46" customWidth="1"/>
    <col min="5" max="7" width="11.85546875" style="2" customWidth="1"/>
    <col min="8" max="9" width="13" style="3" customWidth="1"/>
    <col min="10" max="10" width="4.140625" style="1" customWidth="1"/>
    <col min="11" max="16384" width="23.7109375" style="1"/>
  </cols>
  <sheetData>
    <row r="1" spans="1:10" s="9" customFormat="1" ht="30" customHeight="1" thickTop="1" thickBot="1" x14ac:dyDescent="0.3">
      <c r="A1" s="34" t="s">
        <v>9</v>
      </c>
      <c r="B1" s="30" t="s">
        <v>1</v>
      </c>
      <c r="C1" s="29" t="s">
        <v>2</v>
      </c>
      <c r="D1" s="40" t="s">
        <v>0</v>
      </c>
      <c r="E1" s="52" t="s">
        <v>7</v>
      </c>
      <c r="F1" s="53"/>
      <c r="G1" s="54"/>
      <c r="H1" s="55" t="s">
        <v>3</v>
      </c>
      <c r="I1" s="56"/>
      <c r="J1" s="8"/>
    </row>
    <row r="2" spans="1:10" s="7" customFormat="1" ht="21.95" customHeight="1" thickTop="1" thickBot="1" x14ac:dyDescent="0.3">
      <c r="A2" s="35"/>
      <c r="B2" s="17"/>
      <c r="C2" s="10"/>
      <c r="D2" s="41"/>
      <c r="E2" s="26" t="s">
        <v>4</v>
      </c>
      <c r="F2" s="27" t="s">
        <v>5</v>
      </c>
      <c r="G2" s="28" t="s">
        <v>6</v>
      </c>
      <c r="H2" s="18" t="s">
        <v>5</v>
      </c>
      <c r="I2" s="19" t="s">
        <v>6</v>
      </c>
      <c r="J2" s="6"/>
    </row>
    <row r="3" spans="1:10" ht="15" x14ac:dyDescent="0.25">
      <c r="A3" s="36">
        <v>1</v>
      </c>
      <c r="B3" s="31">
        <v>1</v>
      </c>
      <c r="C3" s="11">
        <v>1</v>
      </c>
      <c r="D3" s="42">
        <f>IF(B3=0,0,C3/B3)</f>
        <v>1</v>
      </c>
      <c r="E3" s="20">
        <v>0</v>
      </c>
      <c r="F3" s="12">
        <v>0</v>
      </c>
      <c r="G3" s="21"/>
      <c r="H3" s="20"/>
      <c r="I3" s="21"/>
    </row>
    <row r="4" spans="1:10" ht="15" x14ac:dyDescent="0.25">
      <c r="A4" s="37">
        <v>2</v>
      </c>
      <c r="B4" s="32">
        <v>0</v>
      </c>
      <c r="C4" s="13">
        <v>0</v>
      </c>
      <c r="D4" s="43">
        <f>IF(B4=0,0,C4/B4)</f>
        <v>0</v>
      </c>
      <c r="E4" s="22">
        <v>0</v>
      </c>
      <c r="F4" s="14">
        <v>0</v>
      </c>
      <c r="G4" s="23"/>
      <c r="H4" s="22"/>
      <c r="I4" s="23"/>
    </row>
    <row r="5" spans="1:10" ht="15" x14ac:dyDescent="0.25">
      <c r="A5" s="38">
        <v>3</v>
      </c>
      <c r="B5" s="33">
        <v>0</v>
      </c>
      <c r="C5" s="15">
        <v>0</v>
      </c>
      <c r="D5" s="44">
        <f t="shared" ref="D5:D29" si="0">IF(B5=0,0,C5/B5)</f>
        <v>0</v>
      </c>
      <c r="E5" s="24">
        <v>0</v>
      </c>
      <c r="F5" s="16">
        <v>0</v>
      </c>
      <c r="G5" s="25"/>
      <c r="H5" s="24"/>
      <c r="I5" s="25"/>
    </row>
    <row r="6" spans="1:10" ht="15" x14ac:dyDescent="0.25">
      <c r="A6" s="37">
        <v>4</v>
      </c>
      <c r="B6" s="32">
        <v>1</v>
      </c>
      <c r="C6" s="13">
        <v>2</v>
      </c>
      <c r="D6" s="43">
        <f t="shared" si="0"/>
        <v>2</v>
      </c>
      <c r="E6" s="22">
        <v>0</v>
      </c>
      <c r="F6" s="14">
        <v>0</v>
      </c>
      <c r="G6" s="23"/>
      <c r="H6" s="22"/>
      <c r="I6" s="23"/>
    </row>
    <row r="7" spans="1:10" ht="15" x14ac:dyDescent="0.25">
      <c r="A7" s="38">
        <v>5</v>
      </c>
      <c r="B7" s="33">
        <v>2</v>
      </c>
      <c r="C7" s="15">
        <v>10</v>
      </c>
      <c r="D7" s="44">
        <f t="shared" si="0"/>
        <v>5</v>
      </c>
      <c r="E7" s="24">
        <v>0</v>
      </c>
      <c r="F7" s="16">
        <v>0</v>
      </c>
      <c r="G7" s="25"/>
      <c r="H7" s="24"/>
      <c r="I7" s="25"/>
    </row>
    <row r="8" spans="1:10" ht="15" x14ac:dyDescent="0.25">
      <c r="A8" s="37">
        <v>6</v>
      </c>
      <c r="B8" s="32">
        <v>1</v>
      </c>
      <c r="C8" s="13">
        <v>4</v>
      </c>
      <c r="D8" s="43">
        <f t="shared" si="0"/>
        <v>4</v>
      </c>
      <c r="E8" s="22">
        <v>0</v>
      </c>
      <c r="F8" s="14">
        <v>0</v>
      </c>
      <c r="G8" s="23"/>
      <c r="H8" s="22"/>
      <c r="I8" s="23"/>
    </row>
    <row r="9" spans="1:10" ht="15" x14ac:dyDescent="0.25">
      <c r="A9" s="38">
        <v>7</v>
      </c>
      <c r="B9" s="33">
        <v>6</v>
      </c>
      <c r="C9" s="15">
        <v>40</v>
      </c>
      <c r="D9" s="44">
        <f t="shared" si="0"/>
        <v>6.666666666666667</v>
      </c>
      <c r="E9" s="24">
        <v>0</v>
      </c>
      <c r="F9" s="16">
        <v>0</v>
      </c>
      <c r="G9" s="25"/>
      <c r="H9" s="24"/>
      <c r="I9" s="25"/>
    </row>
    <row r="10" spans="1:10" ht="15" x14ac:dyDescent="0.25">
      <c r="A10" s="37">
        <v>8</v>
      </c>
      <c r="B10" s="32">
        <v>12</v>
      </c>
      <c r="C10" s="13">
        <v>92</v>
      </c>
      <c r="D10" s="43">
        <f t="shared" si="0"/>
        <v>7.666666666666667</v>
      </c>
      <c r="E10" s="22">
        <v>0</v>
      </c>
      <c r="F10" s="14">
        <v>0</v>
      </c>
      <c r="G10" s="23"/>
      <c r="H10" s="22"/>
      <c r="I10" s="23"/>
    </row>
    <row r="11" spans="1:10" ht="15" x14ac:dyDescent="0.25">
      <c r="A11" s="38">
        <v>9</v>
      </c>
      <c r="B11" s="33">
        <v>46</v>
      </c>
      <c r="C11" s="15">
        <v>352</v>
      </c>
      <c r="D11" s="44">
        <f t="shared" si="0"/>
        <v>7.6521739130434785</v>
      </c>
      <c r="E11" s="24">
        <v>0</v>
      </c>
      <c r="F11" s="16">
        <v>0</v>
      </c>
      <c r="G11" s="25"/>
      <c r="H11" s="24"/>
      <c r="I11" s="25"/>
    </row>
    <row r="12" spans="1:10" ht="15" x14ac:dyDescent="0.25">
      <c r="A12" s="37">
        <v>10</v>
      </c>
      <c r="B12" s="32">
        <v>92</v>
      </c>
      <c r="C12" s="13">
        <v>724</v>
      </c>
      <c r="D12" s="43">
        <f t="shared" si="0"/>
        <v>7.8695652173913047</v>
      </c>
      <c r="E12" s="22">
        <v>0</v>
      </c>
      <c r="F12" s="14">
        <v>0</v>
      </c>
      <c r="G12" s="23"/>
      <c r="H12" s="22"/>
      <c r="I12" s="23"/>
    </row>
    <row r="13" spans="1:10" ht="15" x14ac:dyDescent="0.25">
      <c r="A13" s="38">
        <v>11</v>
      </c>
      <c r="B13" s="33">
        <v>341</v>
      </c>
      <c r="C13" s="15">
        <v>2680</v>
      </c>
      <c r="D13" s="44">
        <f t="shared" si="0"/>
        <v>7.8592375366568916</v>
      </c>
      <c r="E13" s="24">
        <v>0</v>
      </c>
      <c r="F13" s="16">
        <v>0</v>
      </c>
      <c r="G13" s="25"/>
      <c r="H13" s="24"/>
      <c r="I13" s="25"/>
    </row>
    <row r="14" spans="1:10" ht="15" x14ac:dyDescent="0.25">
      <c r="A14" s="37">
        <v>12</v>
      </c>
      <c r="B14" s="32">
        <v>1787</v>
      </c>
      <c r="C14" s="13">
        <v>14200</v>
      </c>
      <c r="D14" s="43">
        <f t="shared" si="0"/>
        <v>7.9462786793508675</v>
      </c>
      <c r="E14" s="22">
        <v>0</v>
      </c>
      <c r="F14" s="14">
        <v>0</v>
      </c>
      <c r="G14" s="23"/>
      <c r="H14" s="22"/>
      <c r="I14" s="23"/>
    </row>
    <row r="15" spans="1:10" ht="15" x14ac:dyDescent="0.25">
      <c r="A15" s="38">
        <v>13</v>
      </c>
      <c r="B15" s="33">
        <v>9233</v>
      </c>
      <c r="C15" s="15">
        <v>73712</v>
      </c>
      <c r="D15" s="44">
        <f t="shared" si="0"/>
        <v>7.9835373118163107</v>
      </c>
      <c r="E15" s="24">
        <v>0</v>
      </c>
      <c r="F15" s="16">
        <v>0</v>
      </c>
      <c r="G15" s="25"/>
      <c r="H15" s="24"/>
      <c r="I15" s="25"/>
    </row>
    <row r="16" spans="1:10" ht="15" x14ac:dyDescent="0.25">
      <c r="A16" s="37">
        <v>14</v>
      </c>
      <c r="B16" s="32">
        <v>45752</v>
      </c>
      <c r="C16" s="13">
        <v>365596</v>
      </c>
      <c r="D16" s="43">
        <f t="shared" si="0"/>
        <v>7.9908200734394121</v>
      </c>
      <c r="E16" s="22">
        <v>0</v>
      </c>
      <c r="F16" s="14">
        <v>0</v>
      </c>
      <c r="G16" s="23"/>
      <c r="H16" s="22"/>
      <c r="I16" s="23"/>
    </row>
    <row r="17" spans="1:9" ht="15" x14ac:dyDescent="0.25">
      <c r="A17" s="38">
        <v>15</v>
      </c>
      <c r="B17" s="33">
        <v>285053</v>
      </c>
      <c r="C17" s="15">
        <v>2279184</v>
      </c>
      <c r="D17" s="44">
        <f t="shared" si="0"/>
        <v>7.9956499317670753</v>
      </c>
      <c r="E17" s="24">
        <v>0</v>
      </c>
      <c r="F17" s="16">
        <v>0.1</v>
      </c>
      <c r="G17" s="25"/>
      <c r="H17" s="24"/>
      <c r="I17" s="25"/>
    </row>
    <row r="18" spans="1:9" ht="15" x14ac:dyDescent="0.25">
      <c r="A18" s="37">
        <v>16</v>
      </c>
      <c r="B18" s="32">
        <v>1846955</v>
      </c>
      <c r="C18" s="13">
        <v>14772512</v>
      </c>
      <c r="D18" s="43">
        <f t="shared" si="0"/>
        <v>7.998306401617798</v>
      </c>
      <c r="E18" s="22">
        <v>0</v>
      </c>
      <c r="F18" s="14">
        <v>0.2</v>
      </c>
      <c r="G18" s="23"/>
      <c r="H18" s="22"/>
      <c r="I18" s="23"/>
    </row>
    <row r="19" spans="1:9" ht="15" x14ac:dyDescent="0.25">
      <c r="A19" s="38">
        <v>17</v>
      </c>
      <c r="B19" s="33">
        <v>11977939</v>
      </c>
      <c r="C19" s="15">
        <v>95815104</v>
      </c>
      <c r="D19" s="44">
        <f t="shared" si="0"/>
        <v>7.9992980428435976</v>
      </c>
      <c r="E19" s="24">
        <v>0</v>
      </c>
      <c r="F19" s="16">
        <v>1.5</v>
      </c>
      <c r="G19" s="25"/>
      <c r="H19" s="24"/>
      <c r="I19" s="25"/>
    </row>
    <row r="20" spans="1:9" ht="15" x14ac:dyDescent="0.25">
      <c r="A20" s="37">
        <v>18</v>
      </c>
      <c r="B20" s="32">
        <v>83263591</v>
      </c>
      <c r="C20" s="13">
        <v>666090624</v>
      </c>
      <c r="D20" s="43">
        <f t="shared" si="0"/>
        <v>7.9997825700311198</v>
      </c>
      <c r="E20" s="22">
        <v>0</v>
      </c>
      <c r="F20" s="14">
        <v>8.9</v>
      </c>
      <c r="G20" s="23"/>
      <c r="H20" s="22"/>
      <c r="I20" s="23"/>
    </row>
    <row r="21" spans="1:9" ht="15" x14ac:dyDescent="0.25">
      <c r="A21" s="38">
        <v>19</v>
      </c>
      <c r="B21" s="33">
        <v>621012754</v>
      </c>
      <c r="C21" s="15">
        <v>4968057848</v>
      </c>
      <c r="D21" s="44">
        <f t="shared" si="0"/>
        <v>7.9999288517027782</v>
      </c>
      <c r="E21" s="24">
        <v>0</v>
      </c>
      <c r="F21" s="16">
        <v>78.599999999999994</v>
      </c>
      <c r="G21" s="25"/>
      <c r="H21" s="24"/>
      <c r="I21" s="25"/>
    </row>
    <row r="22" spans="1:9" ht="15" x14ac:dyDescent="0.25">
      <c r="A22" s="37">
        <v>20</v>
      </c>
      <c r="B22" s="32">
        <v>4878666808</v>
      </c>
      <c r="C22" s="13">
        <v>39029188884</v>
      </c>
      <c r="D22" s="43">
        <f t="shared" si="0"/>
        <v>7.999970159880613</v>
      </c>
      <c r="E22" s="22">
        <v>0</v>
      </c>
      <c r="F22" s="14">
        <v>573.70000000000005</v>
      </c>
      <c r="G22" s="23"/>
      <c r="H22" s="22"/>
      <c r="I22" s="23"/>
    </row>
    <row r="23" spans="1:9" ht="15" x14ac:dyDescent="0.25">
      <c r="A23" s="38">
        <v>21</v>
      </c>
      <c r="B23" s="33">
        <v>39333324973</v>
      </c>
      <c r="C23" s="15">
        <v>314666222712</v>
      </c>
      <c r="D23" s="44">
        <f t="shared" si="0"/>
        <v>7.999990413421691</v>
      </c>
      <c r="E23" s="24">
        <v>0</v>
      </c>
      <c r="F23" s="16">
        <v>0</v>
      </c>
      <c r="G23" s="25"/>
      <c r="H23" s="24"/>
      <c r="I23" s="25"/>
    </row>
    <row r="24" spans="1:9" ht="15" x14ac:dyDescent="0.25">
      <c r="A24" s="37">
        <v>22</v>
      </c>
      <c r="B24" s="32">
        <v>336376244042</v>
      </c>
      <c r="C24" s="13">
        <v>2691008701644</v>
      </c>
      <c r="D24" s="43">
        <f t="shared" si="0"/>
        <v>7.999996281865851</v>
      </c>
      <c r="E24" s="22">
        <v>0</v>
      </c>
      <c r="F24" s="14">
        <v>0</v>
      </c>
      <c r="G24" s="23"/>
      <c r="H24" s="22"/>
      <c r="I24" s="23"/>
    </row>
    <row r="25" spans="1:9" ht="15" x14ac:dyDescent="0.25">
      <c r="A25" s="38">
        <v>23</v>
      </c>
      <c r="B25" s="33">
        <v>3029242658210</v>
      </c>
      <c r="C25" s="15">
        <v>24233937684440</v>
      </c>
      <c r="D25" s="44">
        <f t="shared" si="0"/>
        <v>7.9999988177771133</v>
      </c>
      <c r="E25" s="24">
        <v>0</v>
      </c>
      <c r="F25" s="16">
        <v>0</v>
      </c>
      <c r="G25" s="25"/>
      <c r="H25" s="24"/>
      <c r="I25" s="25"/>
    </row>
    <row r="26" spans="1:9" ht="15" x14ac:dyDescent="0.25">
      <c r="A26" s="37">
        <v>24</v>
      </c>
      <c r="B26" s="32">
        <v>28439272956934</v>
      </c>
      <c r="C26" s="13">
        <v>227514171973736</v>
      </c>
      <c r="D26" s="43">
        <f t="shared" si="0"/>
        <v>7.9999995892392883</v>
      </c>
      <c r="E26" s="22">
        <v>0</v>
      </c>
      <c r="F26" s="14">
        <v>0</v>
      </c>
      <c r="G26" s="23"/>
      <c r="H26" s="22"/>
      <c r="I26" s="23"/>
    </row>
    <row r="27" spans="1:9" ht="15" x14ac:dyDescent="0.25">
      <c r="A27" s="38">
        <v>25</v>
      </c>
      <c r="B27" s="33">
        <v>275986683743434</v>
      </c>
      <c r="C27" s="15">
        <v>2207893435808352</v>
      </c>
      <c r="D27" s="44">
        <f t="shared" si="0"/>
        <v>7.9999998763015681</v>
      </c>
      <c r="E27" s="24">
        <v>0</v>
      </c>
      <c r="F27" s="16">
        <v>0</v>
      </c>
      <c r="G27" s="25"/>
      <c r="H27" s="24"/>
      <c r="I27" s="25"/>
    </row>
    <row r="28" spans="1:9" ht="15" x14ac:dyDescent="0.25">
      <c r="A28" s="37">
        <v>26</v>
      </c>
      <c r="B28" s="32">
        <v>2789712466510289</v>
      </c>
      <c r="C28" s="13">
        <v>2.2317699616364044E+16</v>
      </c>
      <c r="D28" s="43">
        <f t="shared" si="0"/>
        <v>7.9999999585196431</v>
      </c>
      <c r="E28" s="22">
        <v>0</v>
      </c>
      <c r="F28" s="14">
        <v>0</v>
      </c>
      <c r="G28" s="23"/>
      <c r="H28" s="22"/>
      <c r="I28" s="23"/>
    </row>
    <row r="29" spans="1:9" thickBot="1" x14ac:dyDescent="0.3">
      <c r="A29" s="39">
        <v>27</v>
      </c>
      <c r="B29" s="47">
        <v>2.9363495934315696E+16</v>
      </c>
      <c r="C29" s="48">
        <v>2.3490796715412253E+17</v>
      </c>
      <c r="D29" s="45">
        <f t="shared" si="0"/>
        <v>7.9999999890883888</v>
      </c>
      <c r="E29" s="49">
        <v>0</v>
      </c>
      <c r="F29" s="50">
        <v>0</v>
      </c>
      <c r="G29" s="51"/>
      <c r="H29" s="49"/>
      <c r="I29" s="51"/>
    </row>
    <row r="30" spans="1:9" ht="16.5" thickTop="1" x14ac:dyDescent="0.25">
      <c r="A30" s="5"/>
    </row>
    <row r="31" spans="1:9" ht="15" x14ac:dyDescent="0.25">
      <c r="A31" s="5"/>
      <c r="B31" s="2"/>
    </row>
    <row r="32" spans="1:9" ht="15" x14ac:dyDescent="0.25">
      <c r="A32" s="5"/>
      <c r="B32" s="2"/>
    </row>
    <row r="33" spans="1:2" ht="15" x14ac:dyDescent="0.25">
      <c r="A33" s="5"/>
      <c r="B33" s="2"/>
    </row>
    <row r="34" spans="1:2" ht="15" x14ac:dyDescent="0.25">
      <c r="A34" s="5"/>
      <c r="B34" s="2"/>
    </row>
    <row r="35" spans="1:2" ht="15" x14ac:dyDescent="0.25">
      <c r="A35" s="5"/>
      <c r="B35" s="2"/>
    </row>
    <row r="36" spans="1:2" ht="15" x14ac:dyDescent="0.25">
      <c r="A36" s="5"/>
      <c r="B36" s="2"/>
    </row>
    <row r="37" spans="1:2" ht="15" x14ac:dyDescent="0.25">
      <c r="A37" s="5"/>
      <c r="B37" s="2"/>
    </row>
    <row r="38" spans="1:2" ht="15" x14ac:dyDescent="0.25">
      <c r="A38" s="5"/>
      <c r="B38" s="2"/>
    </row>
    <row r="39" spans="1:2" ht="15" x14ac:dyDescent="0.25">
      <c r="A39" s="5"/>
      <c r="B39" s="2"/>
    </row>
    <row r="40" spans="1:2" ht="15" x14ac:dyDescent="0.25">
      <c r="A40" s="5"/>
      <c r="B40" s="2"/>
    </row>
    <row r="41" spans="1:2" ht="15" x14ac:dyDescent="0.25">
      <c r="A41" s="5"/>
      <c r="B41" s="2"/>
    </row>
    <row r="42" spans="1:2" ht="15" x14ac:dyDescent="0.25">
      <c r="A42" s="5"/>
      <c r="B42" s="2"/>
    </row>
    <row r="43" spans="1:2" ht="15" x14ac:dyDescent="0.25">
      <c r="A43" s="5"/>
      <c r="B43" s="2"/>
    </row>
    <row r="44" spans="1:2" ht="15" x14ac:dyDescent="0.25">
      <c r="A44" s="5"/>
      <c r="B44" s="2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22162-40B0-4FA4-AB84-44C704FA7A81}">
  <dimension ref="A1:I42"/>
  <sheetViews>
    <sheetView showGridLines="0" workbookViewId="0">
      <selection activeCell="X19" sqref="X19"/>
    </sheetView>
  </sheetViews>
  <sheetFormatPr defaultRowHeight="15" x14ac:dyDescent="0.25"/>
  <cols>
    <col min="1" max="9" width="13.7109375" customWidth="1"/>
  </cols>
  <sheetData>
    <row r="1" spans="1:9" ht="32.1" customHeight="1" x14ac:dyDescent="0.25">
      <c r="A1" s="57" t="s">
        <v>8</v>
      </c>
      <c r="B1" s="57"/>
      <c r="C1" s="57"/>
      <c r="D1" s="57"/>
      <c r="E1" s="57"/>
      <c r="F1" s="57"/>
      <c r="G1" s="57"/>
      <c r="H1" s="57"/>
      <c r="I1" s="57"/>
    </row>
    <row r="2" spans="1:9" ht="21.95" customHeight="1" x14ac:dyDescent="0.25">
      <c r="A2" s="58" t="s">
        <v>10</v>
      </c>
      <c r="B2" s="58"/>
      <c r="C2" s="58"/>
      <c r="D2" s="58"/>
      <c r="E2" s="58"/>
      <c r="F2" s="58"/>
      <c r="G2" s="58"/>
      <c r="H2" s="58"/>
      <c r="I2" s="58"/>
    </row>
    <row r="41" ht="21" customHeight="1" x14ac:dyDescent="0.25"/>
    <row r="42" ht="21" customHeight="1" x14ac:dyDescent="0.25"/>
  </sheetData>
  <mergeCells count="2">
    <mergeCell ref="A1:I1"/>
    <mergeCell ref="A2:I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Figures</vt:lpstr>
      <vt:lpstr>Figures!Print_Area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2026-10-07T14:56:46Z</dcterms:modified>
</cp:coreProperties>
</file>